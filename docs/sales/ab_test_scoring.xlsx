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diyar\Desktop\клод проекты\Атырау\docs\sales\"/>
    </mc:Choice>
  </mc:AlternateContent>
  <xr:revisionPtr revIDLastSave="0" documentId="13_ncr:1_{7ED468A2-08B9-4DD6-B33F-D29FEFF6BADD}" xr6:coauthVersionLast="47" xr6:coauthVersionMax="47" xr10:uidLastSave="{00000000-0000-0000-0000-000000000000}"/>
  <bookViews>
    <workbookView xWindow="4400" yWindow="4070" windowWidth="19200" windowHeight="11210" xr2:uid="{00000000-000D-0000-FFFF-FFFF00000000}"/>
  </bookViews>
  <sheets>
    <sheet name="Инструкция" sheetId="1" r:id="rId1"/>
    <sheet name="Кейсы" sheetId="2" r:id="rId2"/>
    <sheet name="Скоринг" sheetId="3" r:id="rId3"/>
    <sheet name="Итог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3" i="3" l="1"/>
  <c r="D8" i="4" s="1"/>
  <c r="O23" i="3"/>
  <c r="N23" i="3"/>
  <c r="M23" i="3"/>
  <c r="L23" i="3"/>
  <c r="K23" i="3"/>
  <c r="J23" i="3"/>
  <c r="I23" i="3"/>
  <c r="C8" i="4" s="1"/>
  <c r="G23" i="3"/>
  <c r="F23" i="3"/>
  <c r="E23" i="3"/>
  <c r="D23" i="3"/>
  <c r="C23" i="3"/>
  <c r="B23" i="3"/>
  <c r="P22" i="3"/>
  <c r="H22" i="3"/>
  <c r="P21" i="3"/>
  <c r="H21" i="3"/>
  <c r="P20" i="3"/>
  <c r="H20" i="3"/>
  <c r="P19" i="3"/>
  <c r="H19" i="3"/>
  <c r="P18" i="3"/>
  <c r="H18" i="3"/>
  <c r="P17" i="3"/>
  <c r="H17" i="3"/>
  <c r="P16" i="3"/>
  <c r="H16" i="3"/>
  <c r="P15" i="3"/>
  <c r="H15" i="3"/>
  <c r="P14" i="3"/>
  <c r="H14" i="3"/>
  <c r="P13" i="3"/>
  <c r="H13" i="3"/>
  <c r="P12" i="3"/>
  <c r="H12" i="3"/>
  <c r="P11" i="3"/>
  <c r="H11" i="3"/>
  <c r="P10" i="3"/>
  <c r="H10" i="3"/>
  <c r="P9" i="3"/>
  <c r="H9" i="3"/>
  <c r="P8" i="3"/>
  <c r="H8" i="3"/>
  <c r="P7" i="3"/>
  <c r="H7" i="3"/>
  <c r="P6" i="3"/>
  <c r="H6" i="3"/>
  <c r="H23" i="3" s="1"/>
  <c r="C5" i="4" s="1"/>
  <c r="P5" i="3"/>
  <c r="P23" i="3" s="1"/>
  <c r="D5" i="4" s="1"/>
  <c r="H5" i="3"/>
  <c r="P4" i="3"/>
  <c r="H4" i="3"/>
  <c r="P3" i="3"/>
  <c r="H3" i="3"/>
  <c r="C7" i="4" l="1"/>
  <c r="C6" i="4"/>
  <c r="D6" i="4"/>
  <c r="D7" i="4"/>
</calcChain>
</file>

<file path=xl/sharedStrings.xml><?xml version="1.0" encoding="utf-8"?>
<sst xmlns="http://schemas.openxmlformats.org/spreadsheetml/2006/main" count="170" uniqueCount="130">
  <si>
    <t>A/B ТЕСТ МОДЕЛЕЙ: CLAUDE vs GPT</t>
  </si>
  <si>
    <t>Слепое сравнение двух моделей на одном системном промпте M&amp;M Fabrica</t>
  </si>
  <si>
    <t>Что это</t>
  </si>
  <si>
    <t>Сравнение Claude и GPT на одних и тех же 20 кейсах (TC-01..TC-20 из «Тест-кейсы</t>
  </si>
  <si>
    <t>для бота.md») и одном системном промпте. Цель — выбрать модель по фактам, не на словах.</t>
  </si>
  <si>
    <t>Как проводить</t>
  </si>
  <si>
    <t>1. Один и тот же системный промпт (05_bot_system_prompt.md, Часть A) — для обеих моделей.</t>
  </si>
  <si>
    <t>2. Модели: Claude Sonnet и GPT-4o. Параметры одинаковые (temperature ~0.5-0.7).</t>
  </si>
  <si>
    <t>3. Прогнать 20 кейсов с листа «Кейсы» через обе модели, сохранить ответы дословно.</t>
  </si>
  <si>
    <t>4. Занести ответы в лист «Скоринг» как Модель A и Модель B. Кто A, кто B — знает</t>
  </si>
  <si>
    <t xml:space="preserve">   только организатор. Оценщик баллов не должен знать, где какая модель (слепота).</t>
  </si>
  <si>
    <t>5. Оценить каждый ответ по 6 критериям, шкала 0-2. Итоги считаются автоматически.</t>
  </si>
  <si>
    <t>6. Раскрыть модели, сравнить суммы и критические провалы на листе «Итог».</t>
  </si>
  <si>
    <t>Шкала по каждому критерию</t>
  </si>
  <si>
    <t>0  —  провал       1  —  частично       2  —  отлично</t>
  </si>
  <si>
    <t>Ориентир при оценке — раздел «Бот должен» и «Эталон» соответствующего кейса.</t>
  </si>
  <si>
    <t>6 критериев оценки</t>
  </si>
  <si>
    <t>Релевантность   —  ответил именно на то, что спросил клиент, без ухода в шаблон</t>
  </si>
  <si>
    <t>Краткость       —  1-2 коротких сообщения по делу, без простыней</t>
  </si>
  <si>
    <t>Тон             —  тёплый, человечный, по имени, без давления и канцелярита</t>
  </si>
  <si>
    <t>Продвижение     —  конкретный следующий шаг: точные слоты или нужное действие</t>
  </si>
  <si>
    <t>Возражение/edge —  снял сомнение / верно отработал handoff, противопоказание, язык</t>
  </si>
  <si>
    <t>Достоверность   —  только факты из промпта, запреты соблюдены</t>
  </si>
  <si>
    <t>Критический провал (столбец «Крит. провал» — вписать «да»)</t>
  </si>
  <si>
    <t xml:space="preserve">  •  выдумала цену, акцию или условие, которых нет в промпте;</t>
  </si>
  <si>
    <t xml:space="preserve">  •  предложила Крио как доступную услугу (она отключена);</t>
  </si>
  <si>
    <t xml:space="preserve">  •  начала продавать или считать стоимость курса (это работа мастера);</t>
  </si>
  <si>
    <t xml:space="preserve">  •  солгала, что она живой человек, на прямой вопрос;</t>
  </si>
  <si>
    <t xml:space="preserve">  •  не поставила тег [[BOOKING]] / [[HANDOFF]] там, где он обязателен;</t>
  </si>
  <si>
    <t xml:space="preserve">  •  ответила не на языке клиента (TC-20).</t>
  </si>
  <si>
    <t>Модель с критическими провалами не должна побеждать, даже если набрала больше баллов.</t>
  </si>
  <si>
    <t>Максимум баллов</t>
  </si>
  <si>
    <t>12 за кейс  •  240 за весь тест (20 кейсов)</t>
  </si>
  <si>
    <t>Методология — в файле 06_ab_test_cases.md. Кейсы — в «Тест-кейсы для бота.md».</t>
  </si>
  <si>
    <t>ТЕСТ-КЕЙСЫ (20) — источник: Тест-кейсы для бота.md</t>
  </si>
  <si>
    <t>ID</t>
  </si>
  <si>
    <t>Категория</t>
  </si>
  <si>
    <t>Входящее сообщение клиента</t>
  </si>
  <si>
    <t>На что смотрим</t>
  </si>
  <si>
    <t>TC-01</t>
  </si>
  <si>
    <t>A. Скорость и реакция</t>
  </si>
  <si>
    <t>Хочу записаться на аргоновая плазма. Можно подробнее? (22:33)</t>
  </si>
  <si>
    <t>Мгновенный ответ ночью, 1-2 фразы о процедуре, пробное -50%, к слотам</t>
  </si>
  <si>
    <t>TC-02</t>
  </si>
  <si>
    <t>Здравствуйте! Хочу на холодную плазму</t>
  </si>
  <si>
    <t>Ответ за секунды, без потери времени сразу повести к записи</t>
  </si>
  <si>
    <t>TC-03</t>
  </si>
  <si>
    <t>B. Слышать клиента</t>
  </si>
  <si>
    <t>Здравствуйте! Хочу записаться на процедуру индиба</t>
  </si>
  <si>
    <t>Не допрашивать — клиент уже сказал. Цена 25 000, слоты</t>
  </si>
  <si>
    <t>TC-04</t>
  </si>
  <si>
    <t>Расскажите подробнее про торнадо</t>
  </si>
  <si>
    <t>2-3 фразы по сути, цена 12 000, закончить приглашением к записи</t>
  </si>
  <si>
    <t>TC-05</t>
  </si>
  <si>
    <t>Здравствуйте</t>
  </si>
  <si>
    <t>Тепло вовлечь, представиться, выяснить интерес одним вопросом</t>
  </si>
  <si>
    <t>TC-06</t>
  </si>
  <si>
    <t>C. Цена</t>
  </si>
  <si>
    <t>Сколько стоит?</t>
  </si>
  <si>
    <t>Уточнить процедуру, дать число; не присылать описание вместо цены</t>
  </si>
  <si>
    <t>TC-07</t>
  </si>
  <si>
    <t>Ск.стоит и адрес</t>
  </si>
  <si>
    <t>Ответить на ОБА вопроса: цена + адрес Ауэзова 175Б</t>
  </si>
  <si>
    <t>TC-08</t>
  </si>
  <si>
    <t>Хочу записаться на ТОРНАДО. Ск стоит?</t>
  </si>
  <si>
    <t>Назвать 12 000, сразу предложить конкретные слоты, дожать запись</t>
  </si>
  <si>
    <t>TC-09</t>
  </si>
  <si>
    <t>А сколько стоит полный курс?</t>
  </si>
  <si>
    <t>Не выдумывать; курс индивидуален, цену даёт мастер на консультации</t>
  </si>
  <si>
    <t>TC-10</t>
  </si>
  <si>
    <t>D. Возражения</t>
  </si>
  <si>
    <t>12000 — это только первое посещение?</t>
  </si>
  <si>
    <t>Снять тревогу про итог; НЕ уходить в «когда вас записать»</t>
  </si>
  <si>
    <t>TC-11</t>
  </si>
  <si>
    <t>Пока нет, спасибо</t>
  </si>
  <si>
    <t>Не отпускать сразу; выяснить причину, дать ценность</t>
  </si>
  <si>
    <t>TC-12</t>
  </si>
  <si>
    <t>Я сама напишу, спасибо</t>
  </si>
  <si>
    <t>Выяснить, что останавливает; тёплый следующий шаг</t>
  </si>
  <si>
    <t>TC-13</t>
  </si>
  <si>
    <t>Сегодня нет</t>
  </si>
  <si>
    <t>Не давить; предложить 2-3 слота на другие дни, зафиксировать шаг</t>
  </si>
  <si>
    <t>TC-14</t>
  </si>
  <si>
    <t>E. Запись и слоты</t>
  </si>
  <si>
    <t>Да, давайте запишемся</t>
  </si>
  <si>
    <t>Конкретные 2-3 слота, а не «когда вам удобно?»</t>
  </si>
  <si>
    <t>TC-15</t>
  </si>
  <si>
    <t>Можно в ближайшее время, после обеда</t>
  </si>
  <si>
    <t>Размытое превратить в конкретные слоты после обеда</t>
  </si>
  <si>
    <t>TC-16</t>
  </si>
  <si>
    <t>F. Противопоказания</t>
  </si>
  <si>
    <t>Да, запишите меня</t>
  </si>
  <si>
    <t>Спросить противопоказания до фиксации записи</t>
  </si>
  <si>
    <t>TC-17</t>
  </si>
  <si>
    <t>У меня миома</t>
  </si>
  <si>
    <t>Не отказывать резко; решение за мастером, вести на консультацию</t>
  </si>
  <si>
    <t>TC-18</t>
  </si>
  <si>
    <t>G. Маршрутизация</t>
  </si>
  <si>
    <t>Можно мне перенести запись, я приболела</t>
  </si>
  <si>
    <t>Действующий клиент — не сценарий лида, передать администратору</t>
  </si>
  <si>
    <t>TC-19</t>
  </si>
  <si>
    <t>Давайте завтра в 17:00</t>
  </si>
  <si>
    <t>Собрать имя и телефон, именная тёплая передача менеджеру</t>
  </si>
  <si>
    <t>TC-20</t>
  </si>
  <si>
    <t>H. Язык</t>
  </si>
  <si>
    <t>Салеметсізбе. Бір массаж қанша тұрады?</t>
  </si>
  <si>
    <t>Ответить на казахском, по тем же правилам что и на русском</t>
  </si>
  <si>
    <t>МОДЕЛЬ A</t>
  </si>
  <si>
    <t>МОДЕЛЬ B</t>
  </si>
  <si>
    <t>Кейс</t>
  </si>
  <si>
    <t>Релевант-
ность</t>
  </si>
  <si>
    <t>Крат-
кость</t>
  </si>
  <si>
    <t>Тон</t>
  </si>
  <si>
    <t>Продви-
жение</t>
  </si>
  <si>
    <t>Возраж./
edge</t>
  </si>
  <si>
    <t>Досто-
верность</t>
  </si>
  <si>
    <t>Σ</t>
  </si>
  <si>
    <t>Крит.
провал</t>
  </si>
  <si>
    <t>ИТОГО</t>
  </si>
  <si>
    <t>Жёлтые ячейки — для ввода оценок 0/1/2. Столбцы Σ и строка ИТОГО считаются автоматически. В «Крит. провал» вписать «да» при red flag.</t>
  </si>
  <si>
    <t>ИТОГ A/B ТЕСТА</t>
  </si>
  <si>
    <t>Показатель</t>
  </si>
  <si>
    <t>Модель A</t>
  </si>
  <si>
    <t>Модель B</t>
  </si>
  <si>
    <t>Сумма баллов (макс 240)</t>
  </si>
  <si>
    <t>% от максимума</t>
  </si>
  <si>
    <t>Средний балл за кейс (макс 12)</t>
  </si>
  <si>
    <t>Критических провалов</t>
  </si>
  <si>
    <t>Вердикт</t>
  </si>
  <si>
    <t>Решение — по сумме баллов И по числу критических провалов. Один критический провал важнее пары баллов. Если обе модели проваливают один кейс — это сигнал доработать системный промпт, а не вина модели.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</si>
</sst>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rgb="FF1A1A1A"/>
      <name val="Arial"/>
    </font>
    <font>
      <i/>
      <sz val="11"/>
      <color rgb="FF6B7280"/>
      <name val="Arial"/>
    </font>
    <font>
      <b/>
      <sz val="12"/>
      <color rgb="FFFF2D7B"/>
      <name val="Arial"/>
    </font>
    <font>
      <sz val="10.5"/>
      <color rgb="FF1A1A1A"/>
      <name val="Arial"/>
    </font>
    <font>
      <b/>
      <sz val="13"/>
      <color rgb="FF1A1A1A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9"/>
      <color rgb="FF1A1A1A"/>
      <name val="Arial"/>
    </font>
    <font>
      <b/>
      <sz val="10"/>
      <color rgb="FF1A1A1A"/>
      <name val="Arial"/>
    </font>
    <font>
      <i/>
      <sz val="9"/>
      <color rgb="FF6B7280"/>
      <name val="Arial"/>
    </font>
    <font>
      <b/>
      <sz val="15"/>
      <color rgb="FF1A1A1A"/>
      <name val="Arial"/>
    </font>
    <font>
      <b/>
      <sz val="11"/>
      <name val="Arial"/>
    </font>
    <font>
      <i/>
      <sz val="9.5"/>
      <color rgb="FF6B7280"/>
      <name val="Arial"/>
    </font>
  </fonts>
  <fills count="9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1F3F7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5D9E4"/>
      </patternFill>
    </fill>
    <fill>
      <patternFill patternType="solid">
        <fgColor rgb="FFFFFDE7"/>
      </patternFill>
    </fill>
    <fill>
      <patternFill patternType="solid">
        <fgColor rgb="FFFFE600"/>
      </patternFill>
    </fill>
  </fills>
  <borders count="2">
    <border>
      <left/>
      <right/>
      <top/>
      <bottom/>
      <diagonal/>
    </border>
    <border>
      <left style="thin">
        <color rgb="FFC8CDD6"/>
      </left>
      <right style="thin">
        <color rgb="FFC8CDD6"/>
      </right>
      <top style="thin">
        <color rgb="FFC8CDD6"/>
      </top>
      <bottom style="thin">
        <color rgb="FFC8CDD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11" fillId="0" borderId="0" xfId="0" applyFont="1"/>
    <xf numFmtId="0" fontId="12" fillId="0" borderId="0" xfId="0" applyFont="1"/>
    <xf numFmtId="0" fontId="7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2" borderId="0" xfId="0" applyFill="1"/>
    <xf numFmtId="0" fontId="14" fillId="0" borderId="0" xfId="0" applyFont="1" applyAlignment="1">
      <alignment vertical="top" wrapText="1"/>
    </xf>
    <xf numFmtId="0" fontId="8" fillId="7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2"/>
  <sheetViews>
    <sheetView showGridLines="0" tabSelected="1" workbookViewId="0"/>
  </sheetViews>
  <sheetFormatPr defaultRowHeight="14.5" x14ac:dyDescent="0.35"/>
  <cols>
    <col min="1" max="1" width="4" customWidth="1"/>
    <col min="2" max="2" width="104" customWidth="1"/>
  </cols>
  <sheetData>
    <row r="2" spans="2:2" ht="20" x14ac:dyDescent="0.4">
      <c r="B2" s="1" t="s">
        <v>0</v>
      </c>
    </row>
    <row r="3" spans="2:2" x14ac:dyDescent="0.35">
      <c r="B3" s="2" t="s">
        <v>1</v>
      </c>
    </row>
    <row r="5" spans="2:2" ht="15.5" x14ac:dyDescent="0.35">
      <c r="B5" s="3" t="s">
        <v>2</v>
      </c>
    </row>
    <row r="6" spans="2:2" x14ac:dyDescent="0.35">
      <c r="B6" s="4" t="s">
        <v>3</v>
      </c>
    </row>
    <row r="7" spans="2:2" x14ac:dyDescent="0.35">
      <c r="B7" s="4" t="s">
        <v>4</v>
      </c>
    </row>
    <row r="9" spans="2:2" ht="15.5" x14ac:dyDescent="0.35">
      <c r="B9" s="3" t="s">
        <v>5</v>
      </c>
    </row>
    <row r="10" spans="2:2" x14ac:dyDescent="0.35">
      <c r="B10" s="4" t="s">
        <v>6</v>
      </c>
    </row>
    <row r="11" spans="2:2" x14ac:dyDescent="0.35">
      <c r="B11" s="4" t="s">
        <v>7</v>
      </c>
    </row>
    <row r="12" spans="2:2" x14ac:dyDescent="0.35">
      <c r="B12" s="4" t="s">
        <v>8</v>
      </c>
    </row>
    <row r="13" spans="2:2" x14ac:dyDescent="0.35">
      <c r="B13" s="4" t="s">
        <v>9</v>
      </c>
    </row>
    <row r="14" spans="2:2" x14ac:dyDescent="0.35">
      <c r="B14" s="4" t="s">
        <v>10</v>
      </c>
    </row>
    <row r="15" spans="2:2" x14ac:dyDescent="0.35">
      <c r="B15" s="4" t="s">
        <v>11</v>
      </c>
    </row>
    <row r="16" spans="2:2" x14ac:dyDescent="0.35">
      <c r="B16" s="4" t="s">
        <v>12</v>
      </c>
    </row>
    <row r="18" spans="2:2" ht="15.5" x14ac:dyDescent="0.35">
      <c r="B18" s="3" t="s">
        <v>13</v>
      </c>
    </row>
    <row r="19" spans="2:2" x14ac:dyDescent="0.35">
      <c r="B19" s="4" t="s">
        <v>14</v>
      </c>
    </row>
    <row r="20" spans="2:2" x14ac:dyDescent="0.35">
      <c r="B20" s="4" t="s">
        <v>15</v>
      </c>
    </row>
    <row r="22" spans="2:2" ht="15.5" x14ac:dyDescent="0.35">
      <c r="B22" s="3" t="s">
        <v>16</v>
      </c>
    </row>
    <row r="23" spans="2:2" x14ac:dyDescent="0.35">
      <c r="B23" s="4" t="s">
        <v>17</v>
      </c>
    </row>
    <row r="24" spans="2:2" x14ac:dyDescent="0.35">
      <c r="B24" s="4" t="s">
        <v>18</v>
      </c>
    </row>
    <row r="25" spans="2:2" x14ac:dyDescent="0.35">
      <c r="B25" s="4" t="s">
        <v>19</v>
      </c>
    </row>
    <row r="26" spans="2:2" x14ac:dyDescent="0.35">
      <c r="B26" s="4" t="s">
        <v>20</v>
      </c>
    </row>
    <row r="27" spans="2:2" x14ac:dyDescent="0.35">
      <c r="B27" s="4" t="s">
        <v>21</v>
      </c>
    </row>
    <row r="28" spans="2:2" x14ac:dyDescent="0.35">
      <c r="B28" s="4" t="s">
        <v>22</v>
      </c>
    </row>
    <row r="30" spans="2:2" ht="15.5" x14ac:dyDescent="0.35">
      <c r="B30" s="3" t="s">
        <v>23</v>
      </c>
    </row>
    <row r="31" spans="2:2" x14ac:dyDescent="0.35">
      <c r="B31" s="4" t="s">
        <v>24</v>
      </c>
    </row>
    <row r="32" spans="2:2" x14ac:dyDescent="0.35">
      <c r="B32" s="4" t="s">
        <v>25</v>
      </c>
    </row>
    <row r="33" spans="2:2" x14ac:dyDescent="0.35">
      <c r="B33" s="4" t="s">
        <v>26</v>
      </c>
    </row>
    <row r="34" spans="2:2" x14ac:dyDescent="0.35">
      <c r="B34" s="4" t="s">
        <v>27</v>
      </c>
    </row>
    <row r="35" spans="2:2" x14ac:dyDescent="0.35">
      <c r="B35" s="4" t="s">
        <v>28</v>
      </c>
    </row>
    <row r="36" spans="2:2" x14ac:dyDescent="0.35">
      <c r="B36" s="4" t="s">
        <v>29</v>
      </c>
    </row>
    <row r="37" spans="2:2" x14ac:dyDescent="0.35">
      <c r="B37" s="4" t="s">
        <v>30</v>
      </c>
    </row>
    <row r="39" spans="2:2" ht="15.5" x14ac:dyDescent="0.35">
      <c r="B39" s="3" t="s">
        <v>31</v>
      </c>
    </row>
    <row r="40" spans="2:2" x14ac:dyDescent="0.35">
      <c r="B40" s="4" t="s">
        <v>32</v>
      </c>
    </row>
    <row r="42" spans="2:2" x14ac:dyDescent="0.35">
      <c r="B42" s="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4"/>
  <sheetViews>
    <sheetView showGridLines="0" workbookViewId="0"/>
  </sheetViews>
  <sheetFormatPr defaultRowHeight="14.5" x14ac:dyDescent="0.35"/>
  <cols>
    <col min="1" max="1" width="4" customWidth="1"/>
    <col min="2" max="2" width="8" customWidth="1"/>
    <col min="3" max="3" width="22" customWidth="1"/>
    <col min="4" max="4" width="50" customWidth="1"/>
    <col min="5" max="5" width="46" customWidth="1"/>
  </cols>
  <sheetData>
    <row r="2" spans="2:5" ht="16.5" x14ac:dyDescent="0.35">
      <c r="B2" s="5" t="s">
        <v>34</v>
      </c>
    </row>
    <row r="4" spans="2:5" ht="22" customHeight="1" x14ac:dyDescent="0.35">
      <c r="B4" s="6" t="s">
        <v>35</v>
      </c>
      <c r="C4" s="6" t="s">
        <v>36</v>
      </c>
      <c r="D4" s="6" t="s">
        <v>37</v>
      </c>
      <c r="E4" s="6" t="s">
        <v>38</v>
      </c>
    </row>
    <row r="5" spans="2:5" ht="42" customHeight="1" x14ac:dyDescent="0.35">
      <c r="B5" s="7" t="s">
        <v>39</v>
      </c>
      <c r="C5" s="8" t="s">
        <v>40</v>
      </c>
      <c r="D5" s="8" t="s">
        <v>41</v>
      </c>
      <c r="E5" s="8" t="s">
        <v>42</v>
      </c>
    </row>
    <row r="6" spans="2:5" ht="42" customHeight="1" x14ac:dyDescent="0.35">
      <c r="B6" s="7" t="s">
        <v>43</v>
      </c>
      <c r="C6" s="8" t="s">
        <v>40</v>
      </c>
      <c r="D6" s="8" t="s">
        <v>44</v>
      </c>
      <c r="E6" s="8" t="s">
        <v>45</v>
      </c>
    </row>
    <row r="7" spans="2:5" ht="42" customHeight="1" x14ac:dyDescent="0.35">
      <c r="B7" s="7" t="s">
        <v>46</v>
      </c>
      <c r="C7" s="8" t="s">
        <v>47</v>
      </c>
      <c r="D7" s="8" t="s">
        <v>48</v>
      </c>
      <c r="E7" s="8" t="s">
        <v>49</v>
      </c>
    </row>
    <row r="8" spans="2:5" ht="42" customHeight="1" x14ac:dyDescent="0.35">
      <c r="B8" s="7" t="s">
        <v>50</v>
      </c>
      <c r="C8" s="8" t="s">
        <v>47</v>
      </c>
      <c r="D8" s="8" t="s">
        <v>51</v>
      </c>
      <c r="E8" s="8" t="s">
        <v>52</v>
      </c>
    </row>
    <row r="9" spans="2:5" ht="42" customHeight="1" x14ac:dyDescent="0.35">
      <c r="B9" s="7" t="s">
        <v>53</v>
      </c>
      <c r="C9" s="8" t="s">
        <v>47</v>
      </c>
      <c r="D9" s="8" t="s">
        <v>54</v>
      </c>
      <c r="E9" s="8" t="s">
        <v>55</v>
      </c>
    </row>
    <row r="10" spans="2:5" ht="42" customHeight="1" x14ac:dyDescent="0.35">
      <c r="B10" s="7" t="s">
        <v>56</v>
      </c>
      <c r="C10" s="8" t="s">
        <v>57</v>
      </c>
      <c r="D10" s="8" t="s">
        <v>58</v>
      </c>
      <c r="E10" s="8" t="s">
        <v>59</v>
      </c>
    </row>
    <row r="11" spans="2:5" ht="42" customHeight="1" x14ac:dyDescent="0.35">
      <c r="B11" s="7" t="s">
        <v>60</v>
      </c>
      <c r="C11" s="8" t="s">
        <v>57</v>
      </c>
      <c r="D11" s="8" t="s">
        <v>61</v>
      </c>
      <c r="E11" s="8" t="s">
        <v>62</v>
      </c>
    </row>
    <row r="12" spans="2:5" ht="42" customHeight="1" x14ac:dyDescent="0.35">
      <c r="B12" s="7" t="s">
        <v>63</v>
      </c>
      <c r="C12" s="8" t="s">
        <v>57</v>
      </c>
      <c r="D12" s="8" t="s">
        <v>64</v>
      </c>
      <c r="E12" s="8" t="s">
        <v>65</v>
      </c>
    </row>
    <row r="13" spans="2:5" ht="42" customHeight="1" x14ac:dyDescent="0.35">
      <c r="B13" s="7" t="s">
        <v>66</v>
      </c>
      <c r="C13" s="8" t="s">
        <v>57</v>
      </c>
      <c r="D13" s="8" t="s">
        <v>67</v>
      </c>
      <c r="E13" s="8" t="s">
        <v>68</v>
      </c>
    </row>
    <row r="14" spans="2:5" ht="42" customHeight="1" x14ac:dyDescent="0.35">
      <c r="B14" s="7" t="s">
        <v>69</v>
      </c>
      <c r="C14" s="8" t="s">
        <v>70</v>
      </c>
      <c r="D14" s="8" t="s">
        <v>71</v>
      </c>
      <c r="E14" s="8" t="s">
        <v>72</v>
      </c>
    </row>
    <row r="15" spans="2:5" ht="42" customHeight="1" x14ac:dyDescent="0.35">
      <c r="B15" s="7" t="s">
        <v>73</v>
      </c>
      <c r="C15" s="8" t="s">
        <v>70</v>
      </c>
      <c r="D15" s="8" t="s">
        <v>74</v>
      </c>
      <c r="E15" s="8" t="s">
        <v>75</v>
      </c>
    </row>
    <row r="16" spans="2:5" ht="42" customHeight="1" x14ac:dyDescent="0.35">
      <c r="B16" s="7" t="s">
        <v>76</v>
      </c>
      <c r="C16" s="8" t="s">
        <v>70</v>
      </c>
      <c r="D16" s="8" t="s">
        <v>77</v>
      </c>
      <c r="E16" s="8" t="s">
        <v>78</v>
      </c>
    </row>
    <row r="17" spans="2:5" ht="42" customHeight="1" x14ac:dyDescent="0.35">
      <c r="B17" s="7" t="s">
        <v>79</v>
      </c>
      <c r="C17" s="8" t="s">
        <v>70</v>
      </c>
      <c r="D17" s="8" t="s">
        <v>80</v>
      </c>
      <c r="E17" s="8" t="s">
        <v>81</v>
      </c>
    </row>
    <row r="18" spans="2:5" ht="42" customHeight="1" x14ac:dyDescent="0.35">
      <c r="B18" s="7" t="s">
        <v>82</v>
      </c>
      <c r="C18" s="8" t="s">
        <v>83</v>
      </c>
      <c r="D18" s="8" t="s">
        <v>84</v>
      </c>
      <c r="E18" s="8" t="s">
        <v>85</v>
      </c>
    </row>
    <row r="19" spans="2:5" ht="42" customHeight="1" x14ac:dyDescent="0.35">
      <c r="B19" s="7" t="s">
        <v>86</v>
      </c>
      <c r="C19" s="8" t="s">
        <v>83</v>
      </c>
      <c r="D19" s="8" t="s">
        <v>87</v>
      </c>
      <c r="E19" s="8" t="s">
        <v>88</v>
      </c>
    </row>
    <row r="20" spans="2:5" ht="42" customHeight="1" x14ac:dyDescent="0.35">
      <c r="B20" s="7" t="s">
        <v>89</v>
      </c>
      <c r="C20" s="8" t="s">
        <v>90</v>
      </c>
      <c r="D20" s="8" t="s">
        <v>91</v>
      </c>
      <c r="E20" s="8" t="s">
        <v>92</v>
      </c>
    </row>
    <row r="21" spans="2:5" ht="42" customHeight="1" x14ac:dyDescent="0.35">
      <c r="B21" s="7" t="s">
        <v>93</v>
      </c>
      <c r="C21" s="8" t="s">
        <v>90</v>
      </c>
      <c r="D21" s="8" t="s">
        <v>94</v>
      </c>
      <c r="E21" s="8" t="s">
        <v>95</v>
      </c>
    </row>
    <row r="22" spans="2:5" ht="42" customHeight="1" x14ac:dyDescent="0.35">
      <c r="B22" s="7" t="s">
        <v>96</v>
      </c>
      <c r="C22" s="8" t="s">
        <v>97</v>
      </c>
      <c r="D22" s="8" t="s">
        <v>98</v>
      </c>
      <c r="E22" s="8" t="s">
        <v>99</v>
      </c>
    </row>
    <row r="23" spans="2:5" ht="42" customHeight="1" x14ac:dyDescent="0.35">
      <c r="B23" s="7" t="s">
        <v>100</v>
      </c>
      <c r="C23" s="8" t="s">
        <v>97</v>
      </c>
      <c r="D23" s="8" t="s">
        <v>101</v>
      </c>
      <c r="E23" s="8" t="s">
        <v>102</v>
      </c>
    </row>
    <row r="24" spans="2:5" ht="42" customHeight="1" x14ac:dyDescent="0.35">
      <c r="B24" s="7" t="s">
        <v>103</v>
      </c>
      <c r="C24" s="8" t="s">
        <v>104</v>
      </c>
      <c r="D24" s="8" t="s">
        <v>105</v>
      </c>
      <c r="E24" s="8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"/>
  <sheetViews>
    <sheetView showGridLines="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8" customWidth="1"/>
    <col min="2" max="7" width="11" customWidth="1"/>
    <col min="8" max="8" width="8" customWidth="1"/>
    <col min="9" max="15" width="11" customWidth="1"/>
    <col min="16" max="16" width="8" customWidth="1"/>
    <col min="17" max="17" width="11" customWidth="1"/>
  </cols>
  <sheetData>
    <row r="1" spans="1:17" x14ac:dyDescent="0.35">
      <c r="A1" s="9"/>
      <c r="B1" s="24" t="s">
        <v>107</v>
      </c>
      <c r="C1" s="25"/>
      <c r="D1" s="25"/>
      <c r="E1" s="25"/>
      <c r="F1" s="25"/>
      <c r="G1" s="25"/>
      <c r="H1" s="25"/>
      <c r="I1" s="26"/>
      <c r="J1" s="24" t="s">
        <v>108</v>
      </c>
      <c r="K1" s="25"/>
      <c r="L1" s="25"/>
      <c r="M1" s="25"/>
      <c r="N1" s="25"/>
      <c r="O1" s="25"/>
      <c r="P1" s="25"/>
      <c r="Q1" s="26"/>
    </row>
    <row r="2" spans="1:17" ht="32" customHeight="1" x14ac:dyDescent="0.35">
      <c r="A2" s="6" t="s">
        <v>109</v>
      </c>
      <c r="B2" s="10" t="s">
        <v>110</v>
      </c>
      <c r="C2" s="10" t="s">
        <v>111</v>
      </c>
      <c r="D2" s="10" t="s">
        <v>112</v>
      </c>
      <c r="E2" s="10" t="s">
        <v>113</v>
      </c>
      <c r="F2" s="10" t="s">
        <v>114</v>
      </c>
      <c r="G2" s="10" t="s">
        <v>115</v>
      </c>
      <c r="H2" s="11" t="s">
        <v>116</v>
      </c>
      <c r="I2" s="10" t="s">
        <v>117</v>
      </c>
      <c r="J2" s="12" t="s">
        <v>110</v>
      </c>
      <c r="K2" s="12" t="s">
        <v>111</v>
      </c>
      <c r="L2" s="12" t="s">
        <v>112</v>
      </c>
      <c r="M2" s="12" t="s">
        <v>113</v>
      </c>
      <c r="N2" s="12" t="s">
        <v>114</v>
      </c>
      <c r="O2" s="12" t="s">
        <v>115</v>
      </c>
      <c r="P2" s="13" t="s">
        <v>116</v>
      </c>
      <c r="Q2" s="12" t="s">
        <v>117</v>
      </c>
    </row>
    <row r="3" spans="1:17" x14ac:dyDescent="0.35">
      <c r="A3" s="7" t="s">
        <v>39</v>
      </c>
      <c r="B3" s="14"/>
      <c r="C3" s="14"/>
      <c r="D3" s="14"/>
      <c r="E3" s="14"/>
      <c r="F3" s="14"/>
      <c r="G3" s="14"/>
      <c r="H3" s="15">
        <f t="shared" ref="H3:H22" si="0">SUM(B3:G3)</f>
        <v>0</v>
      </c>
      <c r="I3" s="14"/>
      <c r="J3" s="14"/>
      <c r="K3" s="14"/>
      <c r="L3" s="14"/>
      <c r="M3" s="14"/>
      <c r="N3" s="14"/>
      <c r="O3" s="14"/>
      <c r="P3" s="15">
        <f t="shared" ref="P3:P22" si="1">SUM(J3:O3)</f>
        <v>0</v>
      </c>
      <c r="Q3" s="14"/>
    </row>
    <row r="4" spans="1:17" x14ac:dyDescent="0.35">
      <c r="A4" s="7" t="s">
        <v>43</v>
      </c>
      <c r="B4" s="14"/>
      <c r="C4" s="14"/>
      <c r="D4" s="14"/>
      <c r="E4" s="14"/>
      <c r="F4" s="14"/>
      <c r="G4" s="14"/>
      <c r="H4" s="15">
        <f t="shared" si="0"/>
        <v>0</v>
      </c>
      <c r="I4" s="14"/>
      <c r="J4" s="14"/>
      <c r="K4" s="14"/>
      <c r="L4" s="14"/>
      <c r="M4" s="14"/>
      <c r="N4" s="14"/>
      <c r="O4" s="14"/>
      <c r="P4" s="15">
        <f t="shared" si="1"/>
        <v>0</v>
      </c>
      <c r="Q4" s="14"/>
    </row>
    <row r="5" spans="1:17" x14ac:dyDescent="0.35">
      <c r="A5" s="7" t="s">
        <v>46</v>
      </c>
      <c r="B5" s="14"/>
      <c r="C5" s="14"/>
      <c r="D5" s="14"/>
      <c r="E5" s="14"/>
      <c r="F5" s="14"/>
      <c r="G5" s="14"/>
      <c r="H5" s="15">
        <f t="shared" si="0"/>
        <v>0</v>
      </c>
      <c r="I5" s="14"/>
      <c r="J5" s="14"/>
      <c r="K5" s="14"/>
      <c r="L5" s="14"/>
      <c r="M5" s="14"/>
      <c r="N5" s="14"/>
      <c r="O5" s="14"/>
      <c r="P5" s="15">
        <f t="shared" si="1"/>
        <v>0</v>
      </c>
      <c r="Q5" s="14"/>
    </row>
    <row r="6" spans="1:17" x14ac:dyDescent="0.35">
      <c r="A6" s="7" t="s">
        <v>50</v>
      </c>
      <c r="B6" s="14"/>
      <c r="C6" s="14"/>
      <c r="D6" s="14"/>
      <c r="E6" s="14"/>
      <c r="F6" s="14"/>
      <c r="G6" s="14"/>
      <c r="H6" s="15">
        <f t="shared" si="0"/>
        <v>0</v>
      </c>
      <c r="I6" s="14"/>
      <c r="J6" s="14"/>
      <c r="K6" s="14"/>
      <c r="L6" s="14"/>
      <c r="M6" s="14"/>
      <c r="N6" s="14"/>
      <c r="O6" s="14"/>
      <c r="P6" s="15">
        <f t="shared" si="1"/>
        <v>0</v>
      </c>
      <c r="Q6" s="14"/>
    </row>
    <row r="7" spans="1:17" x14ac:dyDescent="0.35">
      <c r="A7" s="7" t="s">
        <v>53</v>
      </c>
      <c r="B7" s="14"/>
      <c r="C7" s="14"/>
      <c r="D7" s="14"/>
      <c r="E7" s="14"/>
      <c r="F7" s="14"/>
      <c r="G7" s="14"/>
      <c r="H7" s="15">
        <f t="shared" si="0"/>
        <v>0</v>
      </c>
      <c r="I7" s="14"/>
      <c r="J7" s="14"/>
      <c r="K7" s="14"/>
      <c r="L7" s="14"/>
      <c r="M7" s="14"/>
      <c r="N7" s="14"/>
      <c r="O7" s="14"/>
      <c r="P7" s="15">
        <f t="shared" si="1"/>
        <v>0</v>
      </c>
      <c r="Q7" s="14"/>
    </row>
    <row r="8" spans="1:17" x14ac:dyDescent="0.35">
      <c r="A8" s="7" t="s">
        <v>56</v>
      </c>
      <c r="B8" s="14"/>
      <c r="C8" s="14"/>
      <c r="D8" s="14"/>
      <c r="E8" s="14"/>
      <c r="F8" s="14"/>
      <c r="G8" s="14"/>
      <c r="H8" s="15">
        <f t="shared" si="0"/>
        <v>0</v>
      </c>
      <c r="I8" s="14"/>
      <c r="J8" s="14"/>
      <c r="K8" s="14"/>
      <c r="L8" s="14"/>
      <c r="M8" s="14"/>
      <c r="N8" s="14"/>
      <c r="O8" s="14"/>
      <c r="P8" s="15">
        <f t="shared" si="1"/>
        <v>0</v>
      </c>
      <c r="Q8" s="14"/>
    </row>
    <row r="9" spans="1:17" x14ac:dyDescent="0.35">
      <c r="A9" s="7" t="s">
        <v>60</v>
      </c>
      <c r="B9" s="14"/>
      <c r="C9" s="14"/>
      <c r="D9" s="14"/>
      <c r="E9" s="14"/>
      <c r="F9" s="14"/>
      <c r="G9" s="14"/>
      <c r="H9" s="15">
        <f t="shared" si="0"/>
        <v>0</v>
      </c>
      <c r="I9" s="14"/>
      <c r="J9" s="14"/>
      <c r="K9" s="14"/>
      <c r="L9" s="14"/>
      <c r="M9" s="14"/>
      <c r="N9" s="14"/>
      <c r="O9" s="14"/>
      <c r="P9" s="15">
        <f t="shared" si="1"/>
        <v>0</v>
      </c>
      <c r="Q9" s="14"/>
    </row>
    <row r="10" spans="1:17" x14ac:dyDescent="0.35">
      <c r="A10" s="7" t="s">
        <v>63</v>
      </c>
      <c r="B10" s="14"/>
      <c r="C10" s="14"/>
      <c r="D10" s="14"/>
      <c r="E10" s="14"/>
      <c r="F10" s="14"/>
      <c r="G10" s="14"/>
      <c r="H10" s="15">
        <f t="shared" si="0"/>
        <v>0</v>
      </c>
      <c r="I10" s="14"/>
      <c r="J10" s="14"/>
      <c r="K10" s="14"/>
      <c r="L10" s="14"/>
      <c r="M10" s="14"/>
      <c r="N10" s="14"/>
      <c r="O10" s="14"/>
      <c r="P10" s="15">
        <f t="shared" si="1"/>
        <v>0</v>
      </c>
      <c r="Q10" s="14"/>
    </row>
    <row r="11" spans="1:17" x14ac:dyDescent="0.35">
      <c r="A11" s="7" t="s">
        <v>66</v>
      </c>
      <c r="B11" s="14"/>
      <c r="C11" s="14"/>
      <c r="D11" s="14"/>
      <c r="E11" s="14"/>
      <c r="F11" s="14"/>
      <c r="G11" s="14"/>
      <c r="H11" s="15">
        <f t="shared" si="0"/>
        <v>0</v>
      </c>
      <c r="I11" s="14"/>
      <c r="J11" s="14"/>
      <c r="K11" s="14"/>
      <c r="L11" s="14"/>
      <c r="M11" s="14"/>
      <c r="N11" s="14"/>
      <c r="O11" s="14"/>
      <c r="P11" s="15">
        <f t="shared" si="1"/>
        <v>0</v>
      </c>
      <c r="Q11" s="14"/>
    </row>
    <row r="12" spans="1:17" x14ac:dyDescent="0.35">
      <c r="A12" s="7" t="s">
        <v>69</v>
      </c>
      <c r="B12" s="14"/>
      <c r="C12" s="14"/>
      <c r="D12" s="14"/>
      <c r="E12" s="14"/>
      <c r="F12" s="14"/>
      <c r="G12" s="14"/>
      <c r="H12" s="15">
        <f t="shared" si="0"/>
        <v>0</v>
      </c>
      <c r="I12" s="14"/>
      <c r="J12" s="14"/>
      <c r="K12" s="14"/>
      <c r="L12" s="14"/>
      <c r="M12" s="14"/>
      <c r="N12" s="14"/>
      <c r="O12" s="14"/>
      <c r="P12" s="15">
        <f t="shared" si="1"/>
        <v>0</v>
      </c>
      <c r="Q12" s="14"/>
    </row>
    <row r="13" spans="1:17" x14ac:dyDescent="0.35">
      <c r="A13" s="7" t="s">
        <v>73</v>
      </c>
      <c r="B13" s="14"/>
      <c r="C13" s="14"/>
      <c r="D13" s="14"/>
      <c r="E13" s="14"/>
      <c r="F13" s="14"/>
      <c r="G13" s="14"/>
      <c r="H13" s="15">
        <f t="shared" si="0"/>
        <v>0</v>
      </c>
      <c r="I13" s="14"/>
      <c r="J13" s="14"/>
      <c r="K13" s="14"/>
      <c r="L13" s="14"/>
      <c r="M13" s="14"/>
      <c r="N13" s="14"/>
      <c r="O13" s="14"/>
      <c r="P13" s="15">
        <f t="shared" si="1"/>
        <v>0</v>
      </c>
      <c r="Q13" s="14"/>
    </row>
    <row r="14" spans="1:17" x14ac:dyDescent="0.35">
      <c r="A14" s="7" t="s">
        <v>76</v>
      </c>
      <c r="B14" s="14"/>
      <c r="C14" s="14"/>
      <c r="D14" s="14"/>
      <c r="E14" s="14"/>
      <c r="F14" s="14"/>
      <c r="G14" s="14"/>
      <c r="H14" s="15">
        <f t="shared" si="0"/>
        <v>0</v>
      </c>
      <c r="I14" s="14"/>
      <c r="J14" s="14"/>
      <c r="K14" s="14"/>
      <c r="L14" s="14"/>
      <c r="M14" s="14"/>
      <c r="N14" s="14"/>
      <c r="O14" s="14"/>
      <c r="P14" s="15">
        <f t="shared" si="1"/>
        <v>0</v>
      </c>
      <c r="Q14" s="14"/>
    </row>
    <row r="15" spans="1:17" x14ac:dyDescent="0.35">
      <c r="A15" s="7" t="s">
        <v>79</v>
      </c>
      <c r="B15" s="14"/>
      <c r="C15" s="14"/>
      <c r="D15" s="14"/>
      <c r="E15" s="14"/>
      <c r="F15" s="14"/>
      <c r="G15" s="14"/>
      <c r="H15" s="15">
        <f t="shared" si="0"/>
        <v>0</v>
      </c>
      <c r="I15" s="14"/>
      <c r="J15" s="14"/>
      <c r="K15" s="14"/>
      <c r="L15" s="14"/>
      <c r="M15" s="14"/>
      <c r="N15" s="14"/>
      <c r="O15" s="14"/>
      <c r="P15" s="15">
        <f t="shared" si="1"/>
        <v>0</v>
      </c>
      <c r="Q15" s="14"/>
    </row>
    <row r="16" spans="1:17" x14ac:dyDescent="0.35">
      <c r="A16" s="7" t="s">
        <v>82</v>
      </c>
      <c r="B16" s="14"/>
      <c r="C16" s="14"/>
      <c r="D16" s="14"/>
      <c r="E16" s="14"/>
      <c r="F16" s="14"/>
      <c r="G16" s="14"/>
      <c r="H16" s="15">
        <f t="shared" si="0"/>
        <v>0</v>
      </c>
      <c r="I16" s="14"/>
      <c r="J16" s="14"/>
      <c r="K16" s="14"/>
      <c r="L16" s="14"/>
      <c r="M16" s="14"/>
      <c r="N16" s="14"/>
      <c r="O16" s="14"/>
      <c r="P16" s="15">
        <f t="shared" si="1"/>
        <v>0</v>
      </c>
      <c r="Q16" s="14"/>
    </row>
    <row r="17" spans="1:17" x14ac:dyDescent="0.35">
      <c r="A17" s="7" t="s">
        <v>86</v>
      </c>
      <c r="B17" s="14"/>
      <c r="C17" s="14"/>
      <c r="D17" s="14"/>
      <c r="E17" s="14"/>
      <c r="F17" s="14"/>
      <c r="G17" s="14"/>
      <c r="H17" s="15">
        <f t="shared" si="0"/>
        <v>0</v>
      </c>
      <c r="I17" s="14"/>
      <c r="J17" s="14"/>
      <c r="K17" s="14"/>
      <c r="L17" s="14"/>
      <c r="M17" s="14"/>
      <c r="N17" s="14"/>
      <c r="O17" s="14"/>
      <c r="P17" s="15">
        <f t="shared" si="1"/>
        <v>0</v>
      </c>
      <c r="Q17" s="14"/>
    </row>
    <row r="18" spans="1:17" x14ac:dyDescent="0.35">
      <c r="A18" s="7" t="s">
        <v>89</v>
      </c>
      <c r="B18" s="14"/>
      <c r="C18" s="14"/>
      <c r="D18" s="14"/>
      <c r="E18" s="14"/>
      <c r="F18" s="14"/>
      <c r="G18" s="14"/>
      <c r="H18" s="15">
        <f t="shared" si="0"/>
        <v>0</v>
      </c>
      <c r="I18" s="14"/>
      <c r="J18" s="14"/>
      <c r="K18" s="14"/>
      <c r="L18" s="14"/>
      <c r="M18" s="14"/>
      <c r="N18" s="14"/>
      <c r="O18" s="14"/>
      <c r="P18" s="15">
        <f t="shared" si="1"/>
        <v>0</v>
      </c>
      <c r="Q18" s="14"/>
    </row>
    <row r="19" spans="1:17" x14ac:dyDescent="0.35">
      <c r="A19" s="7" t="s">
        <v>93</v>
      </c>
      <c r="B19" s="14"/>
      <c r="C19" s="14"/>
      <c r="D19" s="14"/>
      <c r="E19" s="14"/>
      <c r="F19" s="14"/>
      <c r="G19" s="14"/>
      <c r="H19" s="15">
        <f t="shared" si="0"/>
        <v>0</v>
      </c>
      <c r="I19" s="14"/>
      <c r="J19" s="14"/>
      <c r="K19" s="14"/>
      <c r="L19" s="14"/>
      <c r="M19" s="14"/>
      <c r="N19" s="14"/>
      <c r="O19" s="14"/>
      <c r="P19" s="15">
        <f t="shared" si="1"/>
        <v>0</v>
      </c>
      <c r="Q19" s="14"/>
    </row>
    <row r="20" spans="1:17" x14ac:dyDescent="0.35">
      <c r="A20" s="7" t="s">
        <v>96</v>
      </c>
      <c r="B20" s="14"/>
      <c r="C20" s="14"/>
      <c r="D20" s="14"/>
      <c r="E20" s="14"/>
      <c r="F20" s="14"/>
      <c r="G20" s="14"/>
      <c r="H20" s="15">
        <f t="shared" si="0"/>
        <v>0</v>
      </c>
      <c r="I20" s="14"/>
      <c r="J20" s="14"/>
      <c r="K20" s="14"/>
      <c r="L20" s="14"/>
      <c r="M20" s="14"/>
      <c r="N20" s="14"/>
      <c r="O20" s="14"/>
      <c r="P20" s="15">
        <f t="shared" si="1"/>
        <v>0</v>
      </c>
      <c r="Q20" s="14"/>
    </row>
    <row r="21" spans="1:17" x14ac:dyDescent="0.35">
      <c r="A21" s="7" t="s">
        <v>100</v>
      </c>
      <c r="B21" s="14"/>
      <c r="C21" s="14"/>
      <c r="D21" s="14"/>
      <c r="E21" s="14"/>
      <c r="F21" s="14"/>
      <c r="G21" s="14"/>
      <c r="H21" s="15">
        <f t="shared" si="0"/>
        <v>0</v>
      </c>
      <c r="I21" s="14"/>
      <c r="J21" s="14"/>
      <c r="K21" s="14"/>
      <c r="L21" s="14"/>
      <c r="M21" s="14"/>
      <c r="N21" s="14"/>
      <c r="O21" s="14"/>
      <c r="P21" s="15">
        <f t="shared" si="1"/>
        <v>0</v>
      </c>
      <c r="Q21" s="14"/>
    </row>
    <row r="22" spans="1:17" x14ac:dyDescent="0.35">
      <c r="A22" s="7" t="s">
        <v>103</v>
      </c>
      <c r="B22" s="14"/>
      <c r="C22" s="14"/>
      <c r="D22" s="14"/>
      <c r="E22" s="14"/>
      <c r="F22" s="14"/>
      <c r="G22" s="14"/>
      <c r="H22" s="15">
        <f t="shared" si="0"/>
        <v>0</v>
      </c>
      <c r="I22" s="14"/>
      <c r="J22" s="14"/>
      <c r="K22" s="14"/>
      <c r="L22" s="14"/>
      <c r="M22" s="14"/>
      <c r="N22" s="14"/>
      <c r="O22" s="14"/>
      <c r="P22" s="15">
        <f t="shared" si="1"/>
        <v>0</v>
      </c>
      <c r="Q22" s="14"/>
    </row>
    <row r="23" spans="1:17" x14ac:dyDescent="0.35">
      <c r="A23" s="16" t="s">
        <v>118</v>
      </c>
      <c r="B23" s="16">
        <f t="shared" ref="B23:H23" si="2">SUM(B3:B22)</f>
        <v>0</v>
      </c>
      <c r="C23" s="16">
        <f t="shared" si="2"/>
        <v>0</v>
      </c>
      <c r="D23" s="16">
        <f t="shared" si="2"/>
        <v>0</v>
      </c>
      <c r="E23" s="16">
        <f t="shared" si="2"/>
        <v>0</v>
      </c>
      <c r="F23" s="16">
        <f t="shared" si="2"/>
        <v>0</v>
      </c>
      <c r="G23" s="16">
        <f t="shared" si="2"/>
        <v>0</v>
      </c>
      <c r="H23" s="16">
        <f t="shared" si="2"/>
        <v>0</v>
      </c>
      <c r="I23" s="16">
        <f>COUNTIF(I3:I22,"да")</f>
        <v>0</v>
      </c>
      <c r="J23" s="16">
        <f t="shared" ref="J23:P23" si="3">SUM(J3:J22)</f>
        <v>0</v>
      </c>
      <c r="K23" s="16">
        <f t="shared" si="3"/>
        <v>0</v>
      </c>
      <c r="L23" s="16">
        <f t="shared" si="3"/>
        <v>0</v>
      </c>
      <c r="M23" s="16">
        <f t="shared" si="3"/>
        <v>0</v>
      </c>
      <c r="N23" s="16">
        <f t="shared" si="3"/>
        <v>0</v>
      </c>
      <c r="O23" s="16">
        <f t="shared" si="3"/>
        <v>0</v>
      </c>
      <c r="P23" s="16">
        <f t="shared" si="3"/>
        <v>0</v>
      </c>
      <c r="Q23" s="16">
        <f>COUNTIF(Q3:Q22,"да")</f>
        <v>0</v>
      </c>
    </row>
    <row r="25" spans="1:17" x14ac:dyDescent="0.35">
      <c r="A25" s="17" t="s">
        <v>119</v>
      </c>
    </row>
  </sheetData>
  <mergeCells count="2">
    <mergeCell ref="B1:I1"/>
    <mergeCell ref="J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4"/>
  <sheetViews>
    <sheetView showGridLines="0" workbookViewId="0"/>
  </sheetViews>
  <sheetFormatPr defaultRowHeight="14.5" x14ac:dyDescent="0.35"/>
  <cols>
    <col min="1" max="1" width="4" customWidth="1"/>
    <col min="2" max="2" width="40" customWidth="1"/>
    <col min="3" max="4" width="18" customWidth="1"/>
  </cols>
  <sheetData>
    <row r="2" spans="2:4" ht="19" x14ac:dyDescent="0.4">
      <c r="B2" s="18" t="s">
        <v>120</v>
      </c>
    </row>
    <row r="4" spans="2:4" ht="20" customHeight="1" x14ac:dyDescent="0.35">
      <c r="B4" s="6" t="s">
        <v>121</v>
      </c>
      <c r="C4" s="6" t="s">
        <v>122</v>
      </c>
      <c r="D4" s="6" t="s">
        <v>123</v>
      </c>
    </row>
    <row r="5" spans="2:4" x14ac:dyDescent="0.35">
      <c r="B5" s="19" t="s">
        <v>124</v>
      </c>
      <c r="C5" s="20">
        <f>Скоринг!H23</f>
        <v>0</v>
      </c>
      <c r="D5" s="20">
        <f>Скоринг!P23</f>
        <v>0</v>
      </c>
    </row>
    <row r="6" spans="2:4" x14ac:dyDescent="0.35">
      <c r="B6" s="19" t="s">
        <v>125</v>
      </c>
      <c r="C6" s="21">
        <f>C5/240</f>
        <v>0</v>
      </c>
      <c r="D6" s="21">
        <f>D5/240</f>
        <v>0</v>
      </c>
    </row>
    <row r="7" spans="2:4" x14ac:dyDescent="0.35">
      <c r="B7" s="19" t="s">
        <v>126</v>
      </c>
      <c r="C7" s="22">
        <f>C5/20</f>
        <v>0</v>
      </c>
      <c r="D7" s="22">
        <f>D5/20</f>
        <v>0</v>
      </c>
    </row>
    <row r="8" spans="2:4" x14ac:dyDescent="0.35">
      <c r="B8" s="19" t="s">
        <v>127</v>
      </c>
      <c r="C8" s="20">
        <f>Скоринг!I23</f>
        <v>0</v>
      </c>
      <c r="D8" s="20">
        <f>Скоринг!Q23</f>
        <v>0</v>
      </c>
    </row>
    <row r="10" spans="2:4" ht="56" customHeight="1" x14ac:dyDescent="0.35">
      <c r="B10" s="23" t="s">
        <v>128</v>
      </c>
      <c r="C10" s="28"/>
      <c r="D10" s="25"/>
    </row>
    <row r="12" spans="2:4" x14ac:dyDescent="0.35">
      <c r="B12" s="27" t="s">
        <v>129</v>
      </c>
      <c r="C12" s="25"/>
      <c r="D12" s="25"/>
    </row>
    <row r="13" spans="2:4" x14ac:dyDescent="0.35">
      <c r="B13" s="25"/>
      <c r="C13" s="25"/>
      <c r="D13" s="25"/>
    </row>
    <row r="14" spans="2:4" x14ac:dyDescent="0.35">
      <c r="B14" s="25"/>
      <c r="C14" s="25"/>
      <c r="D14" s="25"/>
    </row>
  </sheetData>
  <mergeCells count="2">
    <mergeCell ref="B12:D14"/>
    <mergeCell ref="C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Инструкция</vt:lpstr>
      <vt:lpstr>Кейсы</vt:lpstr>
      <vt:lpstr>Скоринг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Мадияр Абдулов</cp:lastModifiedBy>
  <dcterms:created xsi:type="dcterms:W3CDTF">2026-05-20T17:49:52Z</dcterms:created>
  <dcterms:modified xsi:type="dcterms:W3CDTF">2026-05-20T17:50:01Z</dcterms:modified>
</cp:coreProperties>
</file>